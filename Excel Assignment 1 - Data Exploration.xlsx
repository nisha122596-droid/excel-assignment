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6FAFFE6-D262-4B0D-AC42-BEDB98C0C332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Instructions" sheetId="1" r:id="rId1"/>
    <sheet name="Dataset" sheetId="2" r:id="rId2"/>
    <sheet name="ANSWERS" sheetId="4" r:id="rId3"/>
  </sheets>
  <definedNames>
    <definedName name="_xlnm._FilterDatabase" localSheetId="2" hidden="1">ANSWERS!$A$1:$G$35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16" i="4" l="1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2" i="4"/>
  <c r="I2" i="4"/>
  <c r="C45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I3" i="4"/>
  <c r="I4" i="4"/>
  <c r="I5" i="4"/>
  <c r="I6" i="4"/>
  <c r="I7" i="4"/>
  <c r="I8" i="4"/>
  <c r="I9" i="4"/>
  <c r="H3" i="4"/>
  <c r="H4" i="4"/>
  <c r="H5" i="4"/>
  <c r="H6" i="4"/>
  <c r="H7" i="4"/>
  <c r="H8" i="4"/>
  <c r="H9" i="4"/>
  <c r="H2" i="4"/>
  <c r="C60" i="4"/>
  <c r="C58" i="4"/>
  <c r="C43" i="4"/>
  <c r="C53" i="4"/>
  <c r="C51" i="4"/>
  <c r="C47" i="4"/>
</calcChain>
</file>

<file path=xl/sharedStrings.xml><?xml version="1.0" encoding="utf-8"?>
<sst xmlns="http://schemas.openxmlformats.org/spreadsheetml/2006/main" count="314" uniqueCount="116">
  <si>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</si>
  <si>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</si>
  <si>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</si>
  <si>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</si>
  <si>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</si>
  <si>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</si>
  <si>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</si>
  <si>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</si>
  <si>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</si>
  <si>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</si>
  <si>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</si>
  <si>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</si>
  <si>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</si>
  <si>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</si>
  <si>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</si>
  <si>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</si>
  <si>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</si>
  <si>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</si>
  <si>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</si>
  <si>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</si>
  <si>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</si>
  <si>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</si>
  <si>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</si>
  <si>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</si>
  <si>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</si>
  <si>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</si>
  <si>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</si>
  <si>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</si>
  <si>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</si>
  <si>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</si>
  <si>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</si>
  <si>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</si>
  <si>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</si>
  <si>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</si>
  <si>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</si>
  <si>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</si>
  <si>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</si>
  <si>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</si>
  <si>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</si>
  <si>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</si>
  <si>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</si>
  <si>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</si>
  <si>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</si>
  <si>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</si>
  <si>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</si>
  <si>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</si>
  <si>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</si>
  <si>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</si>
  <si>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</si>
  <si>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</si>
  <si>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</si>
  <si>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</si>
  <si>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</si>
  <si>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</si>
  <si>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</si>
  <si>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</si>
  <si>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</si>
  <si>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</si>
  <si>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</si>
  <si>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</si>
  <si>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</si>
  <si>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</si>
  <si>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</si>
  <si>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</si>
  <si>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</si>
  <si>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</si>
  <si>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</si>
  <si>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</si>
  <si>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</si>
  <si>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</si>
  <si>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</si>
  <si>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</si>
  <si>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</si>
  <si>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</si>
  <si>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</si>
  <si>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</si>
  <si>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</si>
  <si>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</si>
  <si>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</si>
  <si>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</si>
  <si>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</si>
  <si>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</si>
  <si>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</si>
  <si>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</si>
  <si>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</si>
  <si>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</si>
  <si>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</si>
  <si>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</si>
  <si>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</si>
  <si>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</si>
  <si>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</si>
  <si>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</si>
  <si>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</si>
  <si>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</si>
  <si>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</si>
  <si>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</si>
  <si>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</si>
  <si>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</si>
  <si>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</si>
  <si>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</si>
  <si>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</si>
  <si>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</si>
  <si>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</si>
  <si>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</si>
  <si>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</si>
  <si>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</si>
  <si>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</si>
  <si>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</si>
  <si>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</si>
  <si>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</si>
  <si>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min and max</t>
  </si>
  <si>
    <t>Price range</t>
  </si>
  <si>
    <t xml:space="preserve"> SUMIF and COUNTIF</t>
  </si>
  <si>
    <t>Day</t>
  </si>
  <si>
    <t xml:space="preserve"> 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</si>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</sst>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2060"/>
      <name val="Arial"/>
      <family val="2"/>
      <scheme val="minor"/>
    </font>
    <font>
      <sz val="10"/>
      <color rgb="FF002060"/>
      <name val="Arial"/>
      <family val="2"/>
      <scheme val="minor"/>
    </font>
    <font>
      <sz val="12"/>
      <color rgb="FF002060"/>
      <name val="Times New Roman"/>
      <family val="1"/>
    </font>
    <font>
      <b/>
      <sz val="12"/>
      <color rgb="FF002060"/>
      <name val="Times New Roman"/>
      <family val="1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0" fontId="8" fillId="6" borderId="1" xfId="0" applyFont="1" applyFill="1" applyBorder="1" applyAlignment="1">
      <alignment wrapText="1"/>
    </xf>
    <xf numFmtId="0" fontId="8" fillId="6" borderId="1" xfId="0" applyFont="1" applyFill="1" applyBorder="1" applyAlignment="1">
      <alignment horizontal="right" wrapText="1"/>
    </xf>
    <xf numFmtId="0" fontId="9" fillId="0" borderId="0" xfId="0" applyFont="1"/>
    <xf numFmtId="0" fontId="10" fillId="0" borderId="0" xfId="0" applyFont="1"/>
    <xf numFmtId="0" fontId="0" fillId="0" borderId="0" xfId="0" applyAlignment="1">
      <alignment horizontal="right"/>
    </xf>
    <xf numFmtId="0" fontId="8" fillId="0" borderId="2" xfId="0" applyFont="1" applyBorder="1" applyAlignment="1">
      <alignment wrapText="1"/>
    </xf>
    <xf numFmtId="0" fontId="8" fillId="6" borderId="2" xfId="0" applyFont="1" applyFill="1" applyBorder="1" applyAlignment="1">
      <alignment wrapText="1"/>
    </xf>
    <xf numFmtId="0" fontId="7" fillId="5" borderId="3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2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11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top style="medium">
          <color rgb="FFCCCCCC"/>
        </top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rgb="FF4DD0E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C06251-2B93-4516-B122-F2C5A33983D5}" name="Table1" displayName="Table1" ref="A1:J35" totalsRowShown="0" headerRowDxfId="10" headerRowBorderDxfId="9" tableBorderDxfId="8">
  <autoFilter ref="A1:J35" xr:uid="{47C06251-2B93-4516-B122-F2C5A33983D5}"/>
  <tableColumns count="10">
    <tableColumn id="1" xr3:uid="{7F5EA4B8-EE42-4E39-83E4-89535F16B798}" name="Product ID" dataDxfId="7"/>
    <tableColumn id="2" xr3:uid="{CB3CA5A6-9834-4648-8E51-3882CFEC439D}" name="Product Name" dataDxfId="6"/>
    <tableColumn id="3" xr3:uid="{385C7D53-1B74-4D37-9D33-726475F24C9B}" name="Brand Name" dataDxfId="5"/>
    <tableColumn id="4" xr3:uid="{DBD799F5-0F1D-413E-9555-6EA794A62B3F}" name="Price ($)" dataDxfId="4"/>
    <tableColumn id="5" xr3:uid="{70E4DE23-7C9E-4E94-8563-F168851CE74C}" name="Quantity" dataDxfId="3"/>
    <tableColumn id="6" xr3:uid="{588DFE73-061B-4F78-AFE2-3708DC5F1971}" name="Category" dataDxfId="2"/>
    <tableColumn id="7" xr3:uid="{A0E74C1A-2307-4521-BA5C-3E1EC046261F}" name="Price range">
      <calculatedColumnFormula>IF(D2&gt;=500,"high price","standared price")</calculatedColumnFormula>
    </tableColumn>
    <tableColumn id="8" xr3:uid="{0DFCC9CC-E1D6-485C-B02C-B296353F4251}" name="Day" dataDxfId="1">
      <calculatedColumnFormula>LEFT(A2,2)</calculatedColumnFormula>
    </tableColumn>
    <tableColumn id="9" xr3:uid="{5A8F1DED-EEBC-49F2-8927-33A7F772CA13}" name=" Country Code" dataDxfId="0">
      <calculatedColumnFormula>RIGHT(A2,2)</calculatedColumnFormula>
    </tableColumn>
    <tableColumn id="10" xr3:uid="{07A7BAC8-FA83-4F4F-9267-5B74BEC7E53E}" name="Month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17" sqref="C1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16" t="s">
        <v>3</v>
      </c>
    </row>
    <row r="6" spans="1:3" ht="15.75" customHeight="1" x14ac:dyDescent="0.3">
      <c r="B6" s="2"/>
      <c r="C6" s="16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16" t="s">
        <v>6</v>
      </c>
    </row>
    <row r="10" spans="1:3" ht="15.75" customHeight="1" x14ac:dyDescent="0.3">
      <c r="C10" s="16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16" t="s">
        <v>11</v>
      </c>
    </row>
    <row r="17" spans="2:3" ht="15.75" customHeight="1" x14ac:dyDescent="0.3">
      <c r="C17" s="16" t="s">
        <v>12</v>
      </c>
    </row>
    <row r="18" spans="2:3" ht="15.75" customHeight="1" x14ac:dyDescent="0.3">
      <c r="B18" s="4"/>
    </row>
    <row r="19" spans="2:3" ht="15.75" customHeight="1" x14ac:dyDescent="0.3">
      <c r="B19" s="17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16" t="s">
        <v>15</v>
      </c>
    </row>
    <row r="22" spans="2:3" ht="15.75" customHeight="1" x14ac:dyDescent="0.3">
      <c r="C22" s="16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10" workbookViewId="0">
      <selection activeCell="I24" sqref="I24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0AE0-23D2-44A4-8ECB-E7CBFC1098ED}">
  <dimension ref="A1:J62"/>
  <sheetViews>
    <sheetView tabSelected="1" topLeftCell="A7" workbookViewId="0">
      <selection activeCell="D24" sqref="D24"/>
    </sheetView>
  </sheetViews>
  <sheetFormatPr defaultRowHeight="13.2" x14ac:dyDescent="0.25"/>
  <cols>
    <col min="1" max="1" width="20.5546875" customWidth="1"/>
    <col min="2" max="2" width="17.88671875" customWidth="1"/>
    <col min="3" max="3" width="15.44140625" customWidth="1"/>
    <col min="4" max="4" width="14.109375" customWidth="1"/>
    <col min="5" max="5" width="10.33203125" customWidth="1"/>
    <col min="6" max="7" width="15.21875" customWidth="1"/>
    <col min="8" max="8" width="11.33203125" customWidth="1"/>
    <col min="9" max="9" width="15.6640625" customWidth="1"/>
  </cols>
  <sheetData>
    <row r="1" spans="1:10" ht="13.8" thickBot="1" x14ac:dyDescent="0.3">
      <c r="A1" s="21" t="s">
        <v>17</v>
      </c>
      <c r="B1" s="22" t="s">
        <v>18</v>
      </c>
      <c r="C1" s="22" t="s">
        <v>19</v>
      </c>
      <c r="D1" s="22" t="s">
        <v>20</v>
      </c>
      <c r="E1" s="22" t="s">
        <v>21</v>
      </c>
      <c r="F1" s="22" t="s">
        <v>22</v>
      </c>
      <c r="G1" s="22" t="s">
        <v>111</v>
      </c>
      <c r="H1" s="22" t="s">
        <v>113</v>
      </c>
      <c r="I1" s="22" t="s">
        <v>114</v>
      </c>
      <c r="J1" s="22" t="s">
        <v>115</v>
      </c>
    </row>
    <row r="2" spans="1:10" ht="13.8" thickBot="1" x14ac:dyDescent="0.3">
      <c r="A2" s="19" t="s">
        <v>23</v>
      </c>
      <c r="B2" s="12" t="s">
        <v>24</v>
      </c>
      <c r="C2" s="12" t="s">
        <v>25</v>
      </c>
      <c r="D2" s="13">
        <v>1000</v>
      </c>
      <c r="E2" s="13">
        <v>30</v>
      </c>
      <c r="F2" s="12" t="s">
        <v>26</v>
      </c>
      <c r="G2" t="str">
        <f>IF(D2&gt;=500,"high price","standared price")</f>
        <v>high price</v>
      </c>
      <c r="H2" s="18" t="str">
        <f>LEFT(A2,2)</f>
        <v>28</v>
      </c>
      <c r="I2" s="18" t="str">
        <f>RIGHT(A2,2)</f>
        <v>US</v>
      </c>
      <c r="J2" t="str">
        <f>MID(A2,4,3)</f>
        <v>JAN</v>
      </c>
    </row>
    <row r="3" spans="1:10" ht="13.8" thickBot="1" x14ac:dyDescent="0.3">
      <c r="A3" s="20" t="s">
        <v>27</v>
      </c>
      <c r="B3" s="14" t="s">
        <v>28</v>
      </c>
      <c r="C3" s="14" t="s">
        <v>29</v>
      </c>
      <c r="D3" s="15">
        <v>80</v>
      </c>
      <c r="E3" s="15">
        <v>15</v>
      </c>
      <c r="F3" s="14" t="s">
        <v>30</v>
      </c>
      <c r="G3" t="str">
        <f t="shared" ref="G3:G35" si="0">IF(D3&gt;=500,"high price","standared price")</f>
        <v>standared price</v>
      </c>
      <c r="H3" s="18" t="str">
        <f t="shared" ref="H3:H10" si="1">LEFT(A3,2)</f>
        <v>15</v>
      </c>
      <c r="I3" s="18" t="str">
        <f t="shared" ref="I3:I10" si="2">RIGHT(A3,2)</f>
        <v>US</v>
      </c>
      <c r="J3" t="str">
        <f t="shared" ref="J3:J35" si="3">MID(A3,4,3)</f>
        <v>FEB</v>
      </c>
    </row>
    <row r="4" spans="1:10" ht="13.8" thickBot="1" x14ac:dyDescent="0.3">
      <c r="A4" s="19" t="s">
        <v>31</v>
      </c>
      <c r="B4" s="12" t="s">
        <v>32</v>
      </c>
      <c r="C4" s="12" t="s">
        <v>33</v>
      </c>
      <c r="D4" s="13">
        <v>130</v>
      </c>
      <c r="E4" s="13">
        <v>40</v>
      </c>
      <c r="F4" s="12" t="s">
        <v>34</v>
      </c>
      <c r="G4" t="str">
        <f t="shared" si="0"/>
        <v>standared price</v>
      </c>
      <c r="H4" s="18" t="str">
        <f t="shared" si="1"/>
        <v>03</v>
      </c>
      <c r="I4" s="18" t="str">
        <f t="shared" si="2"/>
        <v>US</v>
      </c>
      <c r="J4" t="str">
        <f t="shared" si="3"/>
        <v>MAR</v>
      </c>
    </row>
    <row r="5" spans="1:10" ht="13.8" thickBot="1" x14ac:dyDescent="0.3">
      <c r="A5" s="20" t="s">
        <v>35</v>
      </c>
      <c r="B5" s="14" t="s">
        <v>36</v>
      </c>
      <c r="C5" s="14" t="s">
        <v>37</v>
      </c>
      <c r="D5" s="15">
        <v>900</v>
      </c>
      <c r="E5" s="15">
        <v>25</v>
      </c>
      <c r="F5" s="14" t="s">
        <v>26</v>
      </c>
      <c r="G5" t="str">
        <f t="shared" si="0"/>
        <v>high price</v>
      </c>
      <c r="H5" s="18" t="str">
        <f t="shared" si="1"/>
        <v>11</v>
      </c>
      <c r="I5" s="18" t="str">
        <f t="shared" si="2"/>
        <v>US</v>
      </c>
      <c r="J5" t="str">
        <f t="shared" si="3"/>
        <v>APR</v>
      </c>
    </row>
    <row r="6" spans="1:10" ht="13.8" thickBot="1" x14ac:dyDescent="0.3">
      <c r="A6" s="19" t="s">
        <v>38</v>
      </c>
      <c r="B6" s="12" t="s">
        <v>39</v>
      </c>
      <c r="C6" s="12" t="s">
        <v>40</v>
      </c>
      <c r="D6" s="13">
        <v>70</v>
      </c>
      <c r="E6" s="13">
        <v>20</v>
      </c>
      <c r="F6" s="12" t="s">
        <v>41</v>
      </c>
      <c r="G6" t="str">
        <f t="shared" si="0"/>
        <v>standared price</v>
      </c>
      <c r="H6" s="18" t="str">
        <f t="shared" si="1"/>
        <v>22</v>
      </c>
      <c r="I6" s="18" t="str">
        <f t="shared" si="2"/>
        <v>US</v>
      </c>
      <c r="J6" t="str">
        <f t="shared" si="3"/>
        <v>MAY</v>
      </c>
    </row>
    <row r="7" spans="1:10" ht="13.8" thickBot="1" x14ac:dyDescent="0.3">
      <c r="A7" s="20" t="s">
        <v>42</v>
      </c>
      <c r="B7" s="14" t="s">
        <v>43</v>
      </c>
      <c r="C7" s="14" t="s">
        <v>44</v>
      </c>
      <c r="D7" s="15">
        <v>200</v>
      </c>
      <c r="E7" s="15">
        <v>45</v>
      </c>
      <c r="F7" s="14" t="s">
        <v>26</v>
      </c>
      <c r="G7" t="str">
        <f t="shared" si="0"/>
        <v>standared price</v>
      </c>
      <c r="H7" s="18" t="str">
        <f t="shared" si="1"/>
        <v>07</v>
      </c>
      <c r="I7" s="18" t="str">
        <f t="shared" si="2"/>
        <v>UK</v>
      </c>
      <c r="J7" t="str">
        <f t="shared" si="3"/>
        <v>JUN</v>
      </c>
    </row>
    <row r="8" spans="1:10" ht="13.8" thickBot="1" x14ac:dyDescent="0.3">
      <c r="A8" s="19" t="s">
        <v>45</v>
      </c>
      <c r="B8" s="12" t="s">
        <v>46</v>
      </c>
      <c r="C8" s="12" t="s">
        <v>47</v>
      </c>
      <c r="D8" s="13">
        <v>30</v>
      </c>
      <c r="E8" s="13">
        <v>5</v>
      </c>
      <c r="F8" s="12" t="s">
        <v>30</v>
      </c>
      <c r="G8" t="str">
        <f t="shared" si="0"/>
        <v>standared price</v>
      </c>
      <c r="H8" s="18" t="str">
        <f t="shared" si="1"/>
        <v>19</v>
      </c>
      <c r="I8" s="18" t="str">
        <f t="shared" si="2"/>
        <v>UK</v>
      </c>
      <c r="J8" t="str">
        <f t="shared" si="3"/>
        <v>JUL</v>
      </c>
    </row>
    <row r="9" spans="1:10" ht="13.8" thickBot="1" x14ac:dyDescent="0.3">
      <c r="A9" s="20" t="s">
        <v>48</v>
      </c>
      <c r="B9" s="14" t="s">
        <v>49</v>
      </c>
      <c r="C9" s="14" t="s">
        <v>50</v>
      </c>
      <c r="D9" s="15">
        <v>90</v>
      </c>
      <c r="E9" s="15">
        <v>35</v>
      </c>
      <c r="F9" s="14" t="s">
        <v>34</v>
      </c>
      <c r="G9" t="str">
        <f t="shared" si="0"/>
        <v>standared price</v>
      </c>
      <c r="H9" s="18" t="str">
        <f t="shared" si="1"/>
        <v>23</v>
      </c>
      <c r="I9" s="18" t="str">
        <f t="shared" si="2"/>
        <v>UK</v>
      </c>
      <c r="J9" t="str">
        <f t="shared" si="3"/>
        <v>AUG</v>
      </c>
    </row>
    <row r="10" spans="1:10" ht="13.8" thickBot="1" x14ac:dyDescent="0.3">
      <c r="A10" s="19" t="s">
        <v>51</v>
      </c>
      <c r="B10" s="12" t="s">
        <v>52</v>
      </c>
      <c r="C10" s="12" t="s">
        <v>53</v>
      </c>
      <c r="D10" s="13">
        <v>500</v>
      </c>
      <c r="E10" s="13">
        <v>50</v>
      </c>
      <c r="F10" s="12" t="s">
        <v>26</v>
      </c>
      <c r="G10" t="str">
        <f t="shared" si="0"/>
        <v>high price</v>
      </c>
      <c r="H10" s="18" t="str">
        <f t="shared" si="1"/>
        <v>05</v>
      </c>
      <c r="I10" s="18" t="str">
        <f t="shared" si="2"/>
        <v>UK</v>
      </c>
      <c r="J10" t="str">
        <f t="shared" si="3"/>
        <v>SEP</v>
      </c>
    </row>
    <row r="11" spans="1:10" ht="13.8" thickBot="1" x14ac:dyDescent="0.3">
      <c r="A11" s="20" t="s">
        <v>54</v>
      </c>
      <c r="B11" s="14" t="s">
        <v>55</v>
      </c>
      <c r="C11" s="14" t="s">
        <v>56</v>
      </c>
      <c r="D11" s="15">
        <v>130</v>
      </c>
      <c r="E11" s="15">
        <v>10</v>
      </c>
      <c r="F11" s="14" t="s">
        <v>41</v>
      </c>
      <c r="G11" t="str">
        <f t="shared" si="0"/>
        <v>standared price</v>
      </c>
      <c r="H11" s="18" t="str">
        <f t="shared" ref="H11:H35" si="4">LEFT(A11,2)</f>
        <v>14</v>
      </c>
      <c r="I11" s="18" t="str">
        <f t="shared" ref="I11:I35" si="5">RIGHT(A11,2)</f>
        <v>UK</v>
      </c>
      <c r="J11" t="str">
        <f t="shared" si="3"/>
        <v>OCT</v>
      </c>
    </row>
    <row r="12" spans="1:10" ht="13.8" thickBot="1" x14ac:dyDescent="0.3">
      <c r="A12" s="19" t="s">
        <v>57</v>
      </c>
      <c r="B12" s="12" t="s">
        <v>24</v>
      </c>
      <c r="C12" s="12" t="s">
        <v>58</v>
      </c>
      <c r="D12" s="13">
        <v>950</v>
      </c>
      <c r="E12" s="13">
        <v>25</v>
      </c>
      <c r="F12" s="12" t="s">
        <v>26</v>
      </c>
      <c r="G12" t="str">
        <f t="shared" si="0"/>
        <v>high price</v>
      </c>
      <c r="H12" s="18" t="str">
        <f t="shared" si="4"/>
        <v>17</v>
      </c>
      <c r="I12" s="18" t="str">
        <f t="shared" si="5"/>
        <v>IN</v>
      </c>
      <c r="J12" t="str">
        <f t="shared" si="3"/>
        <v>JUN</v>
      </c>
    </row>
    <row r="13" spans="1:10" ht="13.8" thickBot="1" x14ac:dyDescent="0.3">
      <c r="A13" s="20" t="s">
        <v>59</v>
      </c>
      <c r="B13" s="14" t="s">
        <v>28</v>
      </c>
      <c r="C13" s="14" t="s">
        <v>47</v>
      </c>
      <c r="D13" s="15">
        <v>90</v>
      </c>
      <c r="E13" s="15">
        <v>40</v>
      </c>
      <c r="F13" s="14" t="s">
        <v>30</v>
      </c>
      <c r="G13" t="str">
        <f t="shared" si="0"/>
        <v>standared price</v>
      </c>
      <c r="H13" s="18" t="str">
        <f t="shared" si="4"/>
        <v>25</v>
      </c>
      <c r="I13" s="18" t="str">
        <f t="shared" si="5"/>
        <v>AU</v>
      </c>
      <c r="J13" t="str">
        <f t="shared" si="3"/>
        <v>NOV</v>
      </c>
    </row>
    <row r="14" spans="1:10" ht="13.8" thickBot="1" x14ac:dyDescent="0.3">
      <c r="A14" s="19" t="s">
        <v>60</v>
      </c>
      <c r="B14" s="12" t="s">
        <v>32</v>
      </c>
      <c r="C14" s="12" t="s">
        <v>61</v>
      </c>
      <c r="D14" s="13">
        <v>120</v>
      </c>
      <c r="E14" s="13">
        <v>35</v>
      </c>
      <c r="F14" s="12" t="s">
        <v>34</v>
      </c>
      <c r="G14" t="str">
        <f t="shared" si="0"/>
        <v>standared price</v>
      </c>
      <c r="H14" s="18" t="str">
        <f t="shared" si="4"/>
        <v>08</v>
      </c>
      <c r="I14" s="18" t="str">
        <f t="shared" si="5"/>
        <v>DE</v>
      </c>
      <c r="J14" t="str">
        <f t="shared" si="3"/>
        <v>DEC</v>
      </c>
    </row>
    <row r="15" spans="1:10" ht="13.8" thickBot="1" x14ac:dyDescent="0.3">
      <c r="A15" s="20" t="s">
        <v>62</v>
      </c>
      <c r="B15" s="14" t="s">
        <v>63</v>
      </c>
      <c r="C15" s="14" t="s">
        <v>64</v>
      </c>
      <c r="D15" s="15">
        <v>150</v>
      </c>
      <c r="E15" s="15">
        <v>15</v>
      </c>
      <c r="F15" s="14" t="s">
        <v>26</v>
      </c>
      <c r="G15" t="str">
        <f t="shared" si="0"/>
        <v>standared price</v>
      </c>
      <c r="H15" s="18" t="str">
        <f t="shared" si="4"/>
        <v>18</v>
      </c>
      <c r="I15" s="18" t="str">
        <f t="shared" si="5"/>
        <v>CA</v>
      </c>
      <c r="J15" t="str">
        <f t="shared" si="3"/>
        <v>FEB</v>
      </c>
    </row>
    <row r="16" spans="1:10" ht="13.8" thickBot="1" x14ac:dyDescent="0.3">
      <c r="A16" s="19" t="s">
        <v>65</v>
      </c>
      <c r="B16" s="12" t="s">
        <v>43</v>
      </c>
      <c r="C16" s="12" t="s">
        <v>66</v>
      </c>
      <c r="D16" s="13">
        <v>250</v>
      </c>
      <c r="E16" s="13">
        <v>20</v>
      </c>
      <c r="F16" s="12" t="s">
        <v>26</v>
      </c>
      <c r="G16" t="str">
        <f t="shared" si="0"/>
        <v>standared price</v>
      </c>
      <c r="H16" s="18" t="str">
        <f t="shared" si="4"/>
        <v>16</v>
      </c>
      <c r="I16" s="18" t="str">
        <f t="shared" si="5"/>
        <v>ES</v>
      </c>
      <c r="J16" t="str">
        <f t="shared" si="3"/>
        <v>APR</v>
      </c>
    </row>
    <row r="17" spans="1:10" ht="13.8" thickBot="1" x14ac:dyDescent="0.3">
      <c r="A17" s="20" t="s">
        <v>67</v>
      </c>
      <c r="B17" s="14" t="s">
        <v>68</v>
      </c>
      <c r="C17" s="14" t="s">
        <v>69</v>
      </c>
      <c r="D17" s="15">
        <v>50</v>
      </c>
      <c r="E17" s="15">
        <v>35</v>
      </c>
      <c r="F17" s="14" t="s">
        <v>70</v>
      </c>
      <c r="G17" t="str">
        <f t="shared" si="0"/>
        <v>standared price</v>
      </c>
      <c r="H17" s="18" t="str">
        <f t="shared" si="4"/>
        <v>21</v>
      </c>
      <c r="I17" s="18" t="str">
        <f t="shared" si="5"/>
        <v>CA</v>
      </c>
      <c r="J17" t="str">
        <f t="shared" si="3"/>
        <v>AUG</v>
      </c>
    </row>
    <row r="18" spans="1:10" ht="13.8" thickBot="1" x14ac:dyDescent="0.3">
      <c r="A18" s="19" t="s">
        <v>71</v>
      </c>
      <c r="B18" s="12" t="s">
        <v>63</v>
      </c>
      <c r="C18" s="12" t="s">
        <v>72</v>
      </c>
      <c r="D18" s="13">
        <v>160</v>
      </c>
      <c r="E18" s="13">
        <v>15</v>
      </c>
      <c r="F18" s="12" t="s">
        <v>26</v>
      </c>
      <c r="G18" t="str">
        <f t="shared" si="0"/>
        <v>standared price</v>
      </c>
      <c r="H18" s="18" t="str">
        <f t="shared" si="4"/>
        <v>20</v>
      </c>
      <c r="I18" s="18" t="str">
        <f t="shared" si="5"/>
        <v>CN</v>
      </c>
      <c r="J18" t="str">
        <f t="shared" si="3"/>
        <v>AUG</v>
      </c>
    </row>
    <row r="19" spans="1:10" ht="13.8" thickBot="1" x14ac:dyDescent="0.3">
      <c r="A19" s="20" t="s">
        <v>73</v>
      </c>
      <c r="B19" s="14" t="s">
        <v>24</v>
      </c>
      <c r="C19" s="14" t="s">
        <v>74</v>
      </c>
      <c r="D19" s="15">
        <v>980</v>
      </c>
      <c r="E19" s="15">
        <v>10</v>
      </c>
      <c r="F19" s="14" t="s">
        <v>26</v>
      </c>
      <c r="G19" t="str">
        <f t="shared" si="0"/>
        <v>high price</v>
      </c>
      <c r="H19" s="18" t="str">
        <f t="shared" si="4"/>
        <v>27</v>
      </c>
      <c r="I19" s="18" t="str">
        <f t="shared" si="5"/>
        <v>IT</v>
      </c>
      <c r="J19" t="str">
        <f t="shared" si="3"/>
        <v>JAN</v>
      </c>
    </row>
    <row r="20" spans="1:10" ht="13.8" thickBot="1" x14ac:dyDescent="0.3">
      <c r="A20" s="19" t="s">
        <v>75</v>
      </c>
      <c r="B20" s="12" t="s">
        <v>76</v>
      </c>
      <c r="C20" s="12" t="s">
        <v>77</v>
      </c>
      <c r="D20" s="13">
        <v>150</v>
      </c>
      <c r="E20" s="13">
        <v>15</v>
      </c>
      <c r="F20" s="12" t="s">
        <v>30</v>
      </c>
      <c r="G20" t="str">
        <f t="shared" si="0"/>
        <v>standared price</v>
      </c>
      <c r="H20" s="18" t="str">
        <f t="shared" si="4"/>
        <v>01</v>
      </c>
      <c r="I20" s="18" t="str">
        <f t="shared" si="5"/>
        <v>UK</v>
      </c>
      <c r="J20" t="str">
        <f t="shared" si="3"/>
        <v>MAR</v>
      </c>
    </row>
    <row r="21" spans="1:10" ht="13.8" thickBot="1" x14ac:dyDescent="0.3">
      <c r="A21" s="20" t="s">
        <v>78</v>
      </c>
      <c r="B21" s="14" t="s">
        <v>79</v>
      </c>
      <c r="C21" s="14" t="s">
        <v>80</v>
      </c>
      <c r="D21" s="15">
        <v>200</v>
      </c>
      <c r="E21" s="15">
        <v>10</v>
      </c>
      <c r="F21" s="14" t="s">
        <v>41</v>
      </c>
      <c r="G21" t="str">
        <f t="shared" si="0"/>
        <v>standared price</v>
      </c>
      <c r="H21" s="18" t="str">
        <f t="shared" si="4"/>
        <v>14</v>
      </c>
      <c r="I21" s="18" t="str">
        <f t="shared" si="5"/>
        <v>US</v>
      </c>
      <c r="J21" t="str">
        <f t="shared" si="3"/>
        <v>AUG</v>
      </c>
    </row>
    <row r="22" spans="1:10" ht="13.8" thickBot="1" x14ac:dyDescent="0.3">
      <c r="A22" s="19" t="s">
        <v>81</v>
      </c>
      <c r="B22" s="12" t="s">
        <v>82</v>
      </c>
      <c r="C22" s="12" t="s">
        <v>83</v>
      </c>
      <c r="D22" s="13">
        <v>700</v>
      </c>
      <c r="E22" s="13">
        <v>50</v>
      </c>
      <c r="F22" s="12" t="s">
        <v>26</v>
      </c>
      <c r="G22" t="str">
        <f>IF(D22&gt;=500,"high price","standared price")</f>
        <v>high price</v>
      </c>
      <c r="H22" s="18" t="str">
        <f t="shared" si="4"/>
        <v>14</v>
      </c>
      <c r="I22" s="18" t="str">
        <f t="shared" si="5"/>
        <v>RU</v>
      </c>
      <c r="J22" t="str">
        <f t="shared" si="3"/>
        <v>MAY</v>
      </c>
    </row>
    <row r="23" spans="1:10" ht="13.8" thickBot="1" x14ac:dyDescent="0.3">
      <c r="A23" s="20" t="s">
        <v>84</v>
      </c>
      <c r="B23" s="14" t="s">
        <v>85</v>
      </c>
      <c r="C23" s="14" t="s">
        <v>86</v>
      </c>
      <c r="D23" s="15">
        <v>80</v>
      </c>
      <c r="E23" s="15">
        <v>20</v>
      </c>
      <c r="F23" s="14" t="s">
        <v>34</v>
      </c>
      <c r="G23" t="str">
        <f t="shared" si="0"/>
        <v>standared price</v>
      </c>
      <c r="H23" s="18" t="str">
        <f t="shared" si="4"/>
        <v>09</v>
      </c>
      <c r="I23" s="18" t="str">
        <f t="shared" si="5"/>
        <v>CA</v>
      </c>
      <c r="J23" t="str">
        <f t="shared" si="3"/>
        <v>JAN</v>
      </c>
    </row>
    <row r="24" spans="1:10" ht="13.8" thickBot="1" x14ac:dyDescent="0.3">
      <c r="A24" s="19" t="s">
        <v>87</v>
      </c>
      <c r="B24" s="12" t="s">
        <v>88</v>
      </c>
      <c r="C24" s="12" t="s">
        <v>89</v>
      </c>
      <c r="D24" s="13">
        <v>150</v>
      </c>
      <c r="E24" s="13">
        <v>30</v>
      </c>
      <c r="F24" s="12" t="s">
        <v>26</v>
      </c>
      <c r="G24" t="str">
        <f t="shared" si="0"/>
        <v>standared price</v>
      </c>
      <c r="H24" s="18" t="str">
        <f t="shared" si="4"/>
        <v>19</v>
      </c>
      <c r="I24" s="18" t="str">
        <f t="shared" si="5"/>
        <v>BR</v>
      </c>
      <c r="J24" t="str">
        <f t="shared" si="3"/>
        <v>JUL</v>
      </c>
    </row>
    <row r="25" spans="1:10" ht="13.8" thickBot="1" x14ac:dyDescent="0.3">
      <c r="A25" s="20" t="s">
        <v>67</v>
      </c>
      <c r="B25" s="14" t="s">
        <v>68</v>
      </c>
      <c r="C25" s="14" t="s">
        <v>69</v>
      </c>
      <c r="D25" s="15">
        <v>50</v>
      </c>
      <c r="E25" s="15">
        <v>35</v>
      </c>
      <c r="F25" s="14" t="s">
        <v>70</v>
      </c>
      <c r="G25" t="str">
        <f t="shared" si="0"/>
        <v>standared price</v>
      </c>
      <c r="H25" s="18" t="str">
        <f t="shared" si="4"/>
        <v>21</v>
      </c>
      <c r="I25" s="18" t="str">
        <f t="shared" si="5"/>
        <v>CA</v>
      </c>
      <c r="J25" t="str">
        <f t="shared" si="3"/>
        <v>AUG</v>
      </c>
    </row>
    <row r="26" spans="1:10" ht="13.8" thickBot="1" x14ac:dyDescent="0.3">
      <c r="A26" s="19" t="s">
        <v>90</v>
      </c>
      <c r="B26" s="12" t="s">
        <v>36</v>
      </c>
      <c r="C26" s="12" t="s">
        <v>91</v>
      </c>
      <c r="D26" s="13">
        <v>800</v>
      </c>
      <c r="E26" s="13">
        <v>45</v>
      </c>
      <c r="F26" s="12" t="s">
        <v>26</v>
      </c>
      <c r="G26" t="str">
        <f t="shared" si="0"/>
        <v>high price</v>
      </c>
      <c r="H26" s="18" t="str">
        <f t="shared" si="4"/>
        <v>29</v>
      </c>
      <c r="I26" s="18" t="str">
        <f t="shared" si="5"/>
        <v>CA</v>
      </c>
      <c r="J26" t="str">
        <f t="shared" si="3"/>
        <v>SEP</v>
      </c>
    </row>
    <row r="27" spans="1:10" ht="13.8" thickBot="1" x14ac:dyDescent="0.3">
      <c r="A27" s="20" t="s">
        <v>92</v>
      </c>
      <c r="B27" s="14" t="s">
        <v>76</v>
      </c>
      <c r="C27" s="14" t="s">
        <v>93</v>
      </c>
      <c r="D27" s="15">
        <v>130</v>
      </c>
      <c r="E27" s="15">
        <v>25</v>
      </c>
      <c r="F27" s="14" t="s">
        <v>30</v>
      </c>
      <c r="G27" t="str">
        <f t="shared" si="0"/>
        <v>standared price</v>
      </c>
      <c r="H27" s="18" t="str">
        <f t="shared" si="4"/>
        <v>03</v>
      </c>
      <c r="I27" s="18" t="str">
        <f t="shared" si="5"/>
        <v>CA</v>
      </c>
      <c r="J27" t="str">
        <f t="shared" si="3"/>
        <v>JUN</v>
      </c>
    </row>
    <row r="28" spans="1:10" ht="13.8" thickBot="1" x14ac:dyDescent="0.3">
      <c r="A28" s="19" t="s">
        <v>94</v>
      </c>
      <c r="B28" s="12" t="s">
        <v>49</v>
      </c>
      <c r="C28" s="12" t="s">
        <v>95</v>
      </c>
      <c r="D28" s="13">
        <v>400</v>
      </c>
      <c r="E28" s="13">
        <v>40</v>
      </c>
      <c r="F28" s="12" t="s">
        <v>34</v>
      </c>
      <c r="G28" t="str">
        <f t="shared" si="0"/>
        <v>standared price</v>
      </c>
      <c r="H28" s="18" t="str">
        <f t="shared" si="4"/>
        <v>11</v>
      </c>
      <c r="I28" s="18" t="str">
        <f t="shared" si="5"/>
        <v>CA</v>
      </c>
      <c r="J28" t="str">
        <f t="shared" si="3"/>
        <v>JUL</v>
      </c>
    </row>
    <row r="29" spans="1:10" ht="13.8" thickBot="1" x14ac:dyDescent="0.3">
      <c r="A29" s="20" t="s">
        <v>65</v>
      </c>
      <c r="B29" s="14" t="s">
        <v>43</v>
      </c>
      <c r="C29" s="14" t="s">
        <v>66</v>
      </c>
      <c r="D29" s="15">
        <v>230</v>
      </c>
      <c r="E29" s="15">
        <v>20</v>
      </c>
      <c r="F29" s="14" t="s">
        <v>26</v>
      </c>
      <c r="G29" t="str">
        <f t="shared" si="0"/>
        <v>standared price</v>
      </c>
      <c r="H29" s="18" t="str">
        <f t="shared" si="4"/>
        <v>16</v>
      </c>
      <c r="I29" s="18" t="str">
        <f t="shared" si="5"/>
        <v>ES</v>
      </c>
      <c r="J29" t="str">
        <f t="shared" si="3"/>
        <v>APR</v>
      </c>
    </row>
    <row r="30" spans="1:10" ht="13.8" thickBot="1" x14ac:dyDescent="0.3">
      <c r="A30" s="19" t="s">
        <v>96</v>
      </c>
      <c r="B30" s="12" t="s">
        <v>97</v>
      </c>
      <c r="C30" s="12" t="s">
        <v>98</v>
      </c>
      <c r="D30" s="13">
        <v>60</v>
      </c>
      <c r="E30" s="13">
        <v>30</v>
      </c>
      <c r="F30" s="12" t="s">
        <v>30</v>
      </c>
      <c r="G30" t="str">
        <f t="shared" si="0"/>
        <v>standared price</v>
      </c>
      <c r="H30" s="18" t="str">
        <f t="shared" si="4"/>
        <v>07</v>
      </c>
      <c r="I30" s="18" t="str">
        <f t="shared" si="5"/>
        <v>CA</v>
      </c>
      <c r="J30" t="str">
        <f t="shared" si="3"/>
        <v>MAR</v>
      </c>
    </row>
    <row r="31" spans="1:10" ht="13.8" thickBot="1" x14ac:dyDescent="0.3">
      <c r="A31" s="20" t="s">
        <v>99</v>
      </c>
      <c r="B31" s="14" t="s">
        <v>100</v>
      </c>
      <c r="C31" s="14" t="s">
        <v>101</v>
      </c>
      <c r="D31" s="15">
        <v>40</v>
      </c>
      <c r="E31" s="15">
        <v>10</v>
      </c>
      <c r="F31" s="14" t="s">
        <v>34</v>
      </c>
      <c r="G31" t="str">
        <f t="shared" si="0"/>
        <v>standared price</v>
      </c>
      <c r="H31" s="18" t="str">
        <f t="shared" si="4"/>
        <v>13</v>
      </c>
      <c r="I31" s="18" t="str">
        <f t="shared" si="5"/>
        <v>CA</v>
      </c>
      <c r="J31" t="str">
        <f t="shared" si="3"/>
        <v>APR</v>
      </c>
    </row>
    <row r="32" spans="1:10" ht="13.8" thickBot="1" x14ac:dyDescent="0.3">
      <c r="A32" s="19" t="s">
        <v>102</v>
      </c>
      <c r="B32" s="12" t="s">
        <v>88</v>
      </c>
      <c r="C32" s="12" t="s">
        <v>103</v>
      </c>
      <c r="D32" s="13">
        <v>130</v>
      </c>
      <c r="E32" s="13">
        <v>5</v>
      </c>
      <c r="F32" s="12" t="s">
        <v>26</v>
      </c>
      <c r="G32" t="str">
        <f t="shared" si="0"/>
        <v>standared price</v>
      </c>
      <c r="H32" s="18" t="str">
        <f t="shared" si="4"/>
        <v>24</v>
      </c>
      <c r="I32" s="18" t="str">
        <f t="shared" si="5"/>
        <v>CA</v>
      </c>
      <c r="J32" t="str">
        <f t="shared" si="3"/>
        <v>MAY</v>
      </c>
    </row>
    <row r="33" spans="1:10" ht="13.8" thickBot="1" x14ac:dyDescent="0.3">
      <c r="A33" s="20" t="s">
        <v>104</v>
      </c>
      <c r="B33" s="14" t="s">
        <v>105</v>
      </c>
      <c r="C33" s="14" t="s">
        <v>106</v>
      </c>
      <c r="D33" s="15">
        <v>50</v>
      </c>
      <c r="E33" s="15">
        <v>50</v>
      </c>
      <c r="F33" s="14" t="s">
        <v>30</v>
      </c>
      <c r="G33" t="str">
        <f t="shared" si="0"/>
        <v>standared price</v>
      </c>
      <c r="H33" s="18" t="str">
        <f t="shared" si="4"/>
        <v>02</v>
      </c>
      <c r="I33" s="18" t="str">
        <f t="shared" si="5"/>
        <v>CA</v>
      </c>
      <c r="J33" t="str">
        <f t="shared" si="3"/>
        <v>DEC</v>
      </c>
    </row>
    <row r="34" spans="1:10" ht="13.8" thickBot="1" x14ac:dyDescent="0.3">
      <c r="A34" s="19" t="s">
        <v>57</v>
      </c>
      <c r="B34" s="12" t="s">
        <v>24</v>
      </c>
      <c r="C34" s="12" t="s">
        <v>58</v>
      </c>
      <c r="D34" s="13">
        <v>950</v>
      </c>
      <c r="E34" s="13">
        <v>25</v>
      </c>
      <c r="F34" s="12" t="s">
        <v>26</v>
      </c>
      <c r="G34" t="str">
        <f t="shared" si="0"/>
        <v>high price</v>
      </c>
      <c r="H34" s="18" t="str">
        <f t="shared" si="4"/>
        <v>17</v>
      </c>
      <c r="I34" s="18" t="str">
        <f t="shared" si="5"/>
        <v>IN</v>
      </c>
      <c r="J34" t="str">
        <f t="shared" si="3"/>
        <v>JUN</v>
      </c>
    </row>
    <row r="35" spans="1:10" ht="13.8" thickBot="1" x14ac:dyDescent="0.3">
      <c r="A35" s="20" t="s">
        <v>107</v>
      </c>
      <c r="B35" s="14" t="s">
        <v>108</v>
      </c>
      <c r="C35" s="14" t="s">
        <v>109</v>
      </c>
      <c r="D35" s="15">
        <v>100</v>
      </c>
      <c r="E35" s="15">
        <v>20</v>
      </c>
      <c r="F35" s="14" t="s">
        <v>70</v>
      </c>
      <c r="G35" t="str">
        <f t="shared" si="0"/>
        <v>standared price</v>
      </c>
      <c r="H35" s="18" t="str">
        <f t="shared" si="4"/>
        <v>09</v>
      </c>
      <c r="I35" s="18" t="str">
        <f t="shared" si="5"/>
        <v>FR</v>
      </c>
      <c r="J35" t="str">
        <f t="shared" si="3"/>
        <v>JUL</v>
      </c>
    </row>
    <row r="36" spans="1:10" ht="13.8" thickBot="1" x14ac:dyDescent="0.3">
      <c r="A36" s="12"/>
      <c r="B36" s="12"/>
      <c r="C36" s="12"/>
      <c r="D36" s="12"/>
      <c r="E36" s="12"/>
      <c r="F36" s="12"/>
    </row>
    <row r="37" spans="1:10" ht="13.8" thickBot="1" x14ac:dyDescent="0.3">
      <c r="A37" s="12"/>
      <c r="B37" s="12"/>
      <c r="C37" s="12"/>
      <c r="D37" s="12"/>
      <c r="E37" s="12"/>
      <c r="F37" s="12"/>
    </row>
    <row r="38" spans="1:10" ht="13.8" thickBot="1" x14ac:dyDescent="0.3">
      <c r="A38" s="12"/>
      <c r="B38" s="12"/>
      <c r="C38" s="12"/>
      <c r="D38" s="12"/>
      <c r="E38" s="12"/>
      <c r="F38" s="12"/>
    </row>
    <row r="39" spans="1:10" ht="13.8" thickBot="1" x14ac:dyDescent="0.3">
      <c r="A39" s="12"/>
      <c r="B39" s="12"/>
      <c r="C39" s="12"/>
      <c r="D39" s="12"/>
      <c r="E39" s="12"/>
      <c r="F39" s="12"/>
    </row>
    <row r="42" spans="1:10" x14ac:dyDescent="0.25">
      <c r="B42" s="23">
        <v>1</v>
      </c>
      <c r="C42" s="25" t="s">
        <v>2</v>
      </c>
      <c r="D42" s="10"/>
    </row>
    <row r="43" spans="1:10" x14ac:dyDescent="0.25">
      <c r="B43" s="24"/>
      <c r="C43" s="28">
        <f>SUM(D2:D35)</f>
        <v>10100</v>
      </c>
    </row>
    <row r="44" spans="1:10" x14ac:dyDescent="0.25">
      <c r="B44" s="24"/>
      <c r="C44" s="25" t="s">
        <v>3</v>
      </c>
      <c r="D44" s="10"/>
    </row>
    <row r="45" spans="1:10" x14ac:dyDescent="0.25">
      <c r="B45" s="24"/>
      <c r="C45">
        <f>COUNTA(B2:B35)</f>
        <v>34</v>
      </c>
    </row>
    <row r="46" spans="1:10" ht="15.6" x14ac:dyDescent="0.3">
      <c r="B46" s="24"/>
      <c r="C46" s="27" t="s">
        <v>4</v>
      </c>
      <c r="D46" s="10"/>
    </row>
    <row r="47" spans="1:10" x14ac:dyDescent="0.25">
      <c r="B47" s="24"/>
      <c r="C47" s="10">
        <f>AVERAGE(D2:D35)</f>
        <v>297.05882352941177</v>
      </c>
    </row>
    <row r="48" spans="1:10" x14ac:dyDescent="0.25">
      <c r="B48" s="23"/>
    </row>
    <row r="49" spans="2:4" x14ac:dyDescent="0.25">
      <c r="B49" s="23">
        <v>2</v>
      </c>
      <c r="C49" s="10" t="s">
        <v>110</v>
      </c>
    </row>
    <row r="50" spans="2:4" ht="15.6" x14ac:dyDescent="0.3">
      <c r="B50" s="24"/>
      <c r="C50" s="27" t="s">
        <v>6</v>
      </c>
      <c r="D50" s="10"/>
    </row>
    <row r="51" spans="2:4" x14ac:dyDescent="0.25">
      <c r="B51" s="24"/>
      <c r="C51" s="10">
        <f>MIN(D2:D35)</f>
        <v>30</v>
      </c>
    </row>
    <row r="52" spans="2:4" ht="15.6" x14ac:dyDescent="0.3">
      <c r="B52" s="24"/>
      <c r="C52" s="27" t="s">
        <v>7</v>
      </c>
      <c r="D52" s="10"/>
    </row>
    <row r="53" spans="2:4" x14ac:dyDescent="0.25">
      <c r="B53" s="24"/>
      <c r="C53" s="10">
        <f>MAX(D2:D35)</f>
        <v>1000</v>
      </c>
    </row>
    <row r="54" spans="2:4" x14ac:dyDescent="0.25">
      <c r="B54" s="23"/>
    </row>
    <row r="55" spans="2:4" x14ac:dyDescent="0.25">
      <c r="B55" s="23">
        <v>4</v>
      </c>
      <c r="C55" s="10" t="s">
        <v>112</v>
      </c>
    </row>
    <row r="57" spans="2:4" x14ac:dyDescent="0.25">
      <c r="C57" s="25" t="s">
        <v>11</v>
      </c>
    </row>
    <row r="58" spans="2:4" x14ac:dyDescent="0.25">
      <c r="C58" s="10">
        <f>SUMIF(F2:F35,"Electronics",D2:D35)</f>
        <v>8050</v>
      </c>
    </row>
    <row r="59" spans="2:4" ht="15.6" x14ac:dyDescent="0.3">
      <c r="C59" s="26" t="s">
        <v>12</v>
      </c>
    </row>
    <row r="60" spans="2:4" x14ac:dyDescent="0.25">
      <c r="C60" s="10">
        <f>COUNTIF(D2:D35,"&lt;100")</f>
        <v>11</v>
      </c>
    </row>
    <row r="61" spans="2:4" x14ac:dyDescent="0.25">
      <c r="B61" s="11"/>
      <c r="C61" s="10"/>
    </row>
    <row r="62" spans="2:4" x14ac:dyDescent="0.25">
      <c r="B62" s="11"/>
      <c r="C62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Muhilan</dc:creator>
  <cp:lastModifiedBy>richard ponmuhilan</cp:lastModifiedBy>
  <dcterms:created xsi:type="dcterms:W3CDTF">2026-01-05T04:34:34Z</dcterms:created>
  <dcterms:modified xsi:type="dcterms:W3CDTF">2026-01-10T06:09:42Z</dcterms:modified>
</cp:coreProperties>
</file>