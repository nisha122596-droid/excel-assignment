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entry nisha\assingment\"/>
    </mc:Choice>
  </mc:AlternateContent>
  <xr:revisionPtr revIDLastSave="0" documentId="13_ncr:1_{5214D1D0-83B1-4DE1-A95B-0D1F93D8C9F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H2" i="2"/>
  <c r="H4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</calcChain>
</file>

<file path=xl/sharedStrings.xml><?xml version="1.0" encoding="utf-8"?>
<sst xmlns="http://schemas.openxmlformats.org/spreadsheetml/2006/main" count="293" uniqueCount="122">
  <si>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</si>
  <si>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</si>
  <si>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</si>
  <si>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</si>
  <si>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</si>
  <si>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</si>
  <si>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</si>
  <si>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</si>
  <si>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</si>
  <si>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</si>
  <si>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</si>
  <si>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</si>
  <si>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</si>
  <si>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</si>
  <si>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</si>
  <si>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</si>
  <si>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</si>
  <si>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</si>
  <si>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</si>
  <si>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</si>
  <si>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</si>
  <si>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</si>
  <si>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</si>
  <si>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</si>
  <si>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</si>
  <si>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</si>
  <si>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</si>
  <si>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</si>
  <si>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</si>
  <si>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</si>
  <si>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</si>
  <si>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</si>
  <si>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</si>
  <si>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</si>
  <si>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</si>
  <si>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</si>
  <si>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</si>
  <si>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</si>
  <si>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</si>
  <si>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</si>
  <si>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</si>
  <si>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</si>
  <si>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</si>
  <si>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</si>
  <si>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</si>
  <si>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</si>
  <si>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</si>
  <si>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</si>
  <si>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</si>
  <si>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</si>
  <si>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</si>
  <si>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</si>
  <si>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</si>
  <si>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</si>
  <si>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</si>
  <si>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</si>
  <si>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</si>
  <si>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</si>
  <si>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</si>
  <si>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</si>
  <si>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</si>
  <si>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</si>
  <si>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</si>
  <si>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</si>
  <si>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</si>
  <si>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</si>
  <si>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</si>
  <si>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</si>
  <si>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</si>
  <si>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</si>
  <si>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</si>
  <si>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</si>
  <si>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</si>
  <si>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</si>
  <si>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</si>
  <si>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</si>
  <si>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</si>
  <si>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</si>
  <si>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</si>
  <si>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</si>
  <si>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</si>
  <si>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</si>
  <si>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</si>
  <si>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</si>
  <si>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</si>
  <si>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</si>
  <si>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</si>
  <si>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</si>
  <si>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</si>
  <si>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</si>
  <si>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</si>
  <si>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</si>
  <si>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</si>
  <si>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</si>
  <si>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</si>
  <si>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</si>
  <si>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</si>
  <si>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</si>
  <si>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</si>
  <si>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</si>
  <si>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</si>
  <si>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</si>
  <si>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</si>
  <si>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</si>
  <si>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</si>
  <si>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</si>
  <si>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</si>
  <si>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</si>
  <si>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</si>
  <si>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</si>
  <si>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</si>
  <si>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</si>
  <si>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</si>
  <si>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</si>
  <si>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</si>
  <si>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</si>
  <si>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Name2</t>
  </si>
  <si>
    <t>T-Shirt</t>
  </si>
  <si>
    <t>Country Code</t>
  </si>
  <si>
    <t>Product Brand</t>
  </si>
  <si>
    <t>Manufacturing Date2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</si>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</sst>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2" fontId="8" fillId="4" borderId="2" xfId="0" applyNumberFormat="1" applyFont="1" applyFill="1" applyBorder="1"/>
    <xf numFmtId="16" fontId="8" fillId="4" borderId="1" xfId="0" applyNumberFormat="1" applyFont="1" applyFill="1" applyBorder="1"/>
    <xf numFmtId="16" fontId="5" fillId="3" borderId="0" xfId="0" applyNumberFormat="1" applyFont="1" applyFill="1"/>
    <xf numFmtId="0" fontId="0" fillId="0" borderId="0" xfId="0" applyAlignment="1">
      <alignment horizontal="center"/>
    </xf>
    <xf numFmtId="164" fontId="7" fillId="2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9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2D2894-908B-4272-9F31-CE967A31F65D}" name="Table3" displayName="Table3" ref="A1:I32" totalsRowShown="0" headerRowDxfId="11" dataDxfId="10">
  <autoFilter ref="A1:I32" xr:uid="{362D2894-908B-4272-9F31-CE967A31F65D}"/>
  <sortState xmlns:xlrd2="http://schemas.microsoft.com/office/spreadsheetml/2017/richdata2" ref="A2:I32">
    <sortCondition ref="A2:A32"/>
  </sortState>
  <tableColumns count="9">
    <tableColumn id="1" xr3:uid="{6FA8B279-3122-48E5-8EE9-9EA8B7CA6883}" name="Product ID" dataDxfId="9"/>
    <tableColumn id="11" xr3:uid="{EDEAE6EC-063B-41F3-9DD7-90156E871732}" name="Manufacturing Date2" dataDxfId="0">
      <calculatedColumnFormula>LEFT(A:A,6)</calculatedColumnFormula>
    </tableColumn>
    <tableColumn id="12" xr3:uid="{0CDB6EDA-A169-42C8-A914-EBDF14A2AAF1}" name="Country Code" dataDxfId="8">
      <calculatedColumnFormula>RIGHT(A:A,2)</calculatedColumnFormula>
    </tableColumn>
    <tableColumn id="13" xr3:uid="{FF87C6D6-683C-4369-AB34-81DB8E3DF2EA}" name="Product Brand" dataDxfId="7">
      <calculatedColumnFormula>_xlfn.CONCAT(E2," ",F2)</calculatedColumnFormula>
    </tableColumn>
    <tableColumn id="10" xr3:uid="{0E9F146B-EF11-4962-B7AE-5C9EC76D54DD}" name="Product Name2" dataDxfId="6"/>
    <tableColumn id="3" xr3:uid="{AFE50B1D-C704-4A5A-B798-13124BE77193}" name="Brand Name" dataDxfId="5"/>
    <tableColumn id="15" xr3:uid="{6F19828F-C6A1-46D1-9D89-14C5EE05D2E0}" name="Price ($)" dataDxfId="4"/>
    <tableColumn id="5" xr3:uid="{76F8875F-A358-4CBE-8304-A55B3E50DA2E}" name="Quantity" dataDxfId="3"/>
    <tableColumn id="16" xr3:uid="{1873717D-9D2F-4AF7-809B-3D1BF84D861F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D23" sqref="D2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J3" sqref="J3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H2" s="9" t="str">
        <f>LEFT(G:G,6)</f>
        <v/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10">
        <v>46082</v>
      </c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H4" s="9" t="str">
        <f>LEFT(G:G,6)</f>
        <v/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11">
        <v>46123</v>
      </c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5AA7-B9EA-4D55-896A-40B84DC4A4C5}">
  <dimension ref="A1:I32"/>
  <sheetViews>
    <sheetView tabSelected="1" workbookViewId="0">
      <selection activeCell="K15" sqref="K15"/>
    </sheetView>
  </sheetViews>
  <sheetFormatPr defaultRowHeight="13.2" x14ac:dyDescent="0.25"/>
  <cols>
    <col min="1" max="5" width="18.88671875" style="12" customWidth="1"/>
    <col min="6" max="6" width="15" style="12" customWidth="1"/>
    <col min="7" max="7" width="15" style="16" customWidth="1"/>
    <col min="8" max="9" width="17.109375" style="12" customWidth="1"/>
  </cols>
  <sheetData>
    <row r="1" spans="1:9" x14ac:dyDescent="0.25">
      <c r="A1" s="17" t="s">
        <v>19</v>
      </c>
      <c r="B1" s="17" t="s">
        <v>120</v>
      </c>
      <c r="C1" s="18" t="s">
        <v>118</v>
      </c>
      <c r="D1" s="18" t="s">
        <v>119</v>
      </c>
      <c r="E1" s="18" t="s">
        <v>116</v>
      </c>
      <c r="F1" s="18" t="s">
        <v>21</v>
      </c>
      <c r="G1" s="13" t="s">
        <v>22</v>
      </c>
      <c r="H1" s="18" t="s">
        <v>23</v>
      </c>
      <c r="I1" s="18" t="s">
        <v>24</v>
      </c>
    </row>
    <row r="2" spans="1:9" x14ac:dyDescent="0.25">
      <c r="A2" s="19" t="s">
        <v>80</v>
      </c>
      <c r="B2" s="20" t="str">
        <f>LEFT(A:A,6)</f>
        <v>01-MAR</v>
      </c>
      <c r="C2" s="21" t="str">
        <f>RIGHT(A:A,2)</f>
        <v>UK</v>
      </c>
      <c r="D2" s="21" t="str">
        <f t="shared" ref="D2:D32" si="0">_xlfn.CONCAT(E2," ",F2)</f>
        <v>Sunglasses Oakley</v>
      </c>
      <c r="E2" s="21" t="s">
        <v>81</v>
      </c>
      <c r="F2" s="21" t="s">
        <v>82</v>
      </c>
      <c r="G2" s="14">
        <v>150</v>
      </c>
      <c r="H2" s="21">
        <v>15</v>
      </c>
      <c r="I2" s="19" t="s">
        <v>32</v>
      </c>
    </row>
    <row r="3" spans="1:9" x14ac:dyDescent="0.25">
      <c r="A3" s="22" t="s">
        <v>110</v>
      </c>
      <c r="B3" s="22" t="str">
        <f>LEFT(A:A,6)</f>
        <v>02-DEC</v>
      </c>
      <c r="C3" s="22" t="str">
        <f>RIGHT(A:A,2)</f>
        <v>CA</v>
      </c>
      <c r="D3" s="22" t="str">
        <f t="shared" si="0"/>
        <v>Jeans Levi's</v>
      </c>
      <c r="E3" s="22" t="s">
        <v>111</v>
      </c>
      <c r="F3" s="22" t="s">
        <v>112</v>
      </c>
      <c r="G3" s="15">
        <v>50</v>
      </c>
      <c r="H3" s="22">
        <v>50</v>
      </c>
      <c r="I3" s="23" t="s">
        <v>32</v>
      </c>
    </row>
    <row r="4" spans="1:9" x14ac:dyDescent="0.25">
      <c r="A4" s="22" t="s">
        <v>98</v>
      </c>
      <c r="B4" s="22" t="str">
        <f>LEFT(A:A,6)</f>
        <v>03-JUN</v>
      </c>
      <c r="C4" s="22" t="str">
        <f>RIGHT(A:A,2)</f>
        <v>CA</v>
      </c>
      <c r="D4" s="22" t="str">
        <f t="shared" si="0"/>
        <v>Sunglasses Ray-Ban</v>
      </c>
      <c r="E4" s="22" t="s">
        <v>81</v>
      </c>
      <c r="F4" s="22" t="s">
        <v>99</v>
      </c>
      <c r="G4" s="15" t="s">
        <v>121</v>
      </c>
      <c r="H4" s="22">
        <v>25</v>
      </c>
      <c r="I4" s="23" t="s">
        <v>32</v>
      </c>
    </row>
    <row r="5" spans="1:9" x14ac:dyDescent="0.25">
      <c r="A5" s="21" t="s">
        <v>33</v>
      </c>
      <c r="B5" s="21" t="str">
        <f>LEFT(A:A,6)</f>
        <v>03-MAR</v>
      </c>
      <c r="C5" s="21" t="str">
        <f>RIGHT(A:A,2)</f>
        <v>US</v>
      </c>
      <c r="D5" s="21" t="str">
        <f t="shared" si="0"/>
        <v>Coffee Maker Keurig</v>
      </c>
      <c r="E5" s="21" t="s">
        <v>34</v>
      </c>
      <c r="F5" s="21" t="s">
        <v>35</v>
      </c>
      <c r="G5" s="14">
        <v>130</v>
      </c>
      <c r="H5" s="21">
        <v>40</v>
      </c>
      <c r="I5" s="19" t="s">
        <v>36</v>
      </c>
    </row>
    <row r="6" spans="1:9" x14ac:dyDescent="0.25">
      <c r="A6" s="21" t="s">
        <v>53</v>
      </c>
      <c r="B6" s="21" t="str">
        <f>LEFT(A:A,6)</f>
        <v>05-SEP</v>
      </c>
      <c r="C6" s="21" t="str">
        <f>RIGHT(A:A,2)</f>
        <v>UK</v>
      </c>
      <c r="D6" s="21" t="str">
        <f t="shared" si="0"/>
        <v>Tablet Apple</v>
      </c>
      <c r="E6" s="21" t="s">
        <v>54</v>
      </c>
      <c r="F6" s="21" t="s">
        <v>55</v>
      </c>
      <c r="G6" s="14">
        <v>500</v>
      </c>
      <c r="H6" s="21">
        <v>50</v>
      </c>
      <c r="I6" s="19" t="s">
        <v>28</v>
      </c>
    </row>
    <row r="7" spans="1:9" x14ac:dyDescent="0.25">
      <c r="A7" s="22" t="s">
        <v>43</v>
      </c>
      <c r="B7" s="22" t="str">
        <f>LEFT(A:A,6)</f>
        <v>07-JUN</v>
      </c>
      <c r="C7" s="22" t="str">
        <f>RIGHT(A:A,2)</f>
        <v>UK</v>
      </c>
      <c r="D7" s="22" t="str">
        <f t="shared" si="0"/>
        <v>Headphones Sony</v>
      </c>
      <c r="E7" s="22" t="s">
        <v>44</v>
      </c>
      <c r="F7" s="22" t="s">
        <v>45</v>
      </c>
      <c r="G7" s="15" t="s">
        <v>121</v>
      </c>
      <c r="H7" s="22">
        <v>45</v>
      </c>
      <c r="I7" s="23" t="s">
        <v>28</v>
      </c>
    </row>
    <row r="8" spans="1:9" x14ac:dyDescent="0.25">
      <c r="A8" s="21" t="s">
        <v>102</v>
      </c>
      <c r="B8" s="21" t="str">
        <f>LEFT(A:A,6)</f>
        <v>07-MAR</v>
      </c>
      <c r="C8" s="21" t="str">
        <f>RIGHT(A:A,2)</f>
        <v>CA</v>
      </c>
      <c r="D8" s="21" t="str">
        <f t="shared" si="0"/>
        <v>Dress Zara</v>
      </c>
      <c r="E8" s="21" t="s">
        <v>103</v>
      </c>
      <c r="F8" s="21" t="s">
        <v>104</v>
      </c>
      <c r="G8" s="14">
        <v>60</v>
      </c>
      <c r="H8" s="21">
        <v>30</v>
      </c>
      <c r="I8" s="19" t="s">
        <v>32</v>
      </c>
    </row>
    <row r="9" spans="1:9" x14ac:dyDescent="0.25">
      <c r="A9" s="21" t="s">
        <v>64</v>
      </c>
      <c r="B9" s="21" t="str">
        <f>LEFT(A:A,6)</f>
        <v>08-DEC</v>
      </c>
      <c r="C9" s="21" t="str">
        <f>RIGHT(A:A,2)</f>
        <v>DE</v>
      </c>
      <c r="D9" s="21" t="str">
        <f t="shared" si="0"/>
        <v>Coffee Maker Nespresso</v>
      </c>
      <c r="E9" s="21" t="s">
        <v>34</v>
      </c>
      <c r="F9" s="21" t="s">
        <v>65</v>
      </c>
      <c r="G9" s="14">
        <v>120</v>
      </c>
      <c r="H9" s="21">
        <v>35</v>
      </c>
      <c r="I9" s="19" t="s">
        <v>121</v>
      </c>
    </row>
    <row r="10" spans="1:9" x14ac:dyDescent="0.25">
      <c r="A10" s="22" t="s">
        <v>89</v>
      </c>
      <c r="B10" s="22" t="str">
        <f>LEFT(A:A,6)</f>
        <v>09-JAN</v>
      </c>
      <c r="C10" s="22" t="str">
        <f>RIGHT(A:A,2)</f>
        <v>CA</v>
      </c>
      <c r="D10" s="22" t="str">
        <f t="shared" si="0"/>
        <v>Microwave Panasonic</v>
      </c>
      <c r="E10" s="22" t="s">
        <v>90</v>
      </c>
      <c r="F10" s="22" t="s">
        <v>91</v>
      </c>
      <c r="G10" s="15">
        <v>80</v>
      </c>
      <c r="H10" s="22">
        <v>20</v>
      </c>
      <c r="I10" s="23" t="s">
        <v>36</v>
      </c>
    </row>
    <row r="11" spans="1:9" x14ac:dyDescent="0.25">
      <c r="A11" s="22" t="s">
        <v>113</v>
      </c>
      <c r="B11" s="22" t="str">
        <f>LEFT(A:A,6)</f>
        <v>09-JUL</v>
      </c>
      <c r="C11" s="22" t="str">
        <f>RIGHT(A:A,2)</f>
        <v>FR</v>
      </c>
      <c r="D11" s="22" t="str">
        <f t="shared" si="0"/>
        <v>Watch Casio</v>
      </c>
      <c r="E11" s="22" t="s">
        <v>114</v>
      </c>
      <c r="F11" s="22" t="s">
        <v>115</v>
      </c>
      <c r="G11" s="15">
        <v>100</v>
      </c>
      <c r="H11" s="22">
        <v>20</v>
      </c>
      <c r="I11" s="23" t="s">
        <v>75</v>
      </c>
    </row>
    <row r="12" spans="1:9" x14ac:dyDescent="0.25">
      <c r="A12" s="22" t="s">
        <v>37</v>
      </c>
      <c r="B12" s="22" t="str">
        <f>LEFT(A:A,6)</f>
        <v>11-APR</v>
      </c>
      <c r="C12" s="22" t="str">
        <f>RIGHT(A:A,2)</f>
        <v>US</v>
      </c>
      <c r="D12" s="22" t="str">
        <f t="shared" si="0"/>
        <v>Smartphone Samsung</v>
      </c>
      <c r="E12" s="22" t="s">
        <v>96</v>
      </c>
      <c r="F12" s="22" t="s">
        <v>39</v>
      </c>
      <c r="G12" s="15">
        <v>900</v>
      </c>
      <c r="H12" s="22">
        <v>25</v>
      </c>
      <c r="I12" s="23" t="s">
        <v>28</v>
      </c>
    </row>
    <row r="13" spans="1:9" x14ac:dyDescent="0.25">
      <c r="A13" s="21" t="s">
        <v>100</v>
      </c>
      <c r="B13" s="21" t="str">
        <f>LEFT(A:A,6)</f>
        <v>11-JUL</v>
      </c>
      <c r="C13" s="21" t="str">
        <f>RIGHT(A:A,2)</f>
        <v>CA</v>
      </c>
      <c r="D13" s="21" t="str">
        <f t="shared" si="0"/>
        <v>Blender Vitamix</v>
      </c>
      <c r="E13" s="21" t="s">
        <v>51</v>
      </c>
      <c r="F13" s="21" t="s">
        <v>101</v>
      </c>
      <c r="G13" s="14">
        <v>400</v>
      </c>
      <c r="H13" s="21">
        <v>40</v>
      </c>
      <c r="I13" s="19" t="s">
        <v>36</v>
      </c>
    </row>
    <row r="14" spans="1:9" x14ac:dyDescent="0.25">
      <c r="A14" s="22" t="s">
        <v>105</v>
      </c>
      <c r="B14" s="22" t="str">
        <f>LEFT(A:A,6)</f>
        <v>13-APR</v>
      </c>
      <c r="C14" s="22" t="str">
        <f>RIGHT(A:A,2)</f>
        <v>CA</v>
      </c>
      <c r="D14" s="22" t="str">
        <f t="shared" si="0"/>
        <v>Toaster Hamilton</v>
      </c>
      <c r="E14" s="22" t="s">
        <v>106</v>
      </c>
      <c r="F14" s="22" t="s">
        <v>107</v>
      </c>
      <c r="G14" s="15">
        <v>40</v>
      </c>
      <c r="H14" s="22">
        <v>10</v>
      </c>
      <c r="I14" s="23" t="s">
        <v>36</v>
      </c>
    </row>
    <row r="15" spans="1:9" x14ac:dyDescent="0.25">
      <c r="A15" s="22" t="s">
        <v>83</v>
      </c>
      <c r="B15" s="22" t="str">
        <f>LEFT(A:A,6)</f>
        <v>14-AUG</v>
      </c>
      <c r="C15" s="22" t="str">
        <f>RIGHT(A:A,2)</f>
        <v>US</v>
      </c>
      <c r="D15" s="22" t="str">
        <f t="shared" si="0"/>
        <v>Camping Tent Coleman</v>
      </c>
      <c r="E15" s="22" t="s">
        <v>84</v>
      </c>
      <c r="F15" s="22" t="s">
        <v>85</v>
      </c>
      <c r="G15" s="15" t="s">
        <v>121</v>
      </c>
      <c r="H15" s="22">
        <v>10</v>
      </c>
      <c r="I15" s="23" t="s">
        <v>59</v>
      </c>
    </row>
    <row r="16" spans="1:9" x14ac:dyDescent="0.25">
      <c r="A16" s="21" t="s">
        <v>86</v>
      </c>
      <c r="B16" s="21" t="str">
        <f>LEFT(A:A,6)</f>
        <v>14-MAY</v>
      </c>
      <c r="C16" s="21" t="str">
        <f>RIGHT(A:A,2)</f>
        <v>RU</v>
      </c>
      <c r="D16" s="21" t="str">
        <f t="shared" si="0"/>
        <v>Camera Nikon</v>
      </c>
      <c r="E16" s="21" t="s">
        <v>87</v>
      </c>
      <c r="F16" s="21" t="s">
        <v>88</v>
      </c>
      <c r="G16" s="14">
        <v>700</v>
      </c>
      <c r="H16" s="21">
        <v>50</v>
      </c>
      <c r="I16" s="19" t="s">
        <v>28</v>
      </c>
    </row>
    <row r="17" spans="1:9" x14ac:dyDescent="0.25">
      <c r="A17" s="22" t="s">
        <v>56</v>
      </c>
      <c r="B17" s="22" t="str">
        <f>LEFT(A:A,6)</f>
        <v>14-OCT</v>
      </c>
      <c r="C17" s="22" t="str">
        <f>RIGHT(A:A,2)</f>
        <v>UK</v>
      </c>
      <c r="D17" s="22" t="str">
        <f t="shared" si="0"/>
        <v>Hiking Boots Timberland</v>
      </c>
      <c r="E17" s="22" t="s">
        <v>57</v>
      </c>
      <c r="F17" s="22" t="s">
        <v>58</v>
      </c>
      <c r="G17" s="15">
        <v>130</v>
      </c>
      <c r="H17" s="22">
        <v>10</v>
      </c>
      <c r="I17" s="23" t="s">
        <v>59</v>
      </c>
    </row>
    <row r="18" spans="1:9" x14ac:dyDescent="0.25">
      <c r="A18" s="22" t="s">
        <v>29</v>
      </c>
      <c r="B18" s="22" t="str">
        <f>LEFT(A:A,6)</f>
        <v>15-FEB</v>
      </c>
      <c r="C18" s="22" t="str">
        <f>RIGHT(A:A,2)</f>
        <v>US</v>
      </c>
      <c r="D18" s="22" t="str">
        <f t="shared" si="0"/>
        <v>Sneakers Nike</v>
      </c>
      <c r="E18" s="22" t="s">
        <v>30</v>
      </c>
      <c r="F18" s="22" t="s">
        <v>31</v>
      </c>
      <c r="G18" s="15">
        <v>80</v>
      </c>
      <c r="H18" s="22">
        <v>15</v>
      </c>
      <c r="I18" s="23" t="s">
        <v>32</v>
      </c>
    </row>
    <row r="19" spans="1:9" x14ac:dyDescent="0.25">
      <c r="A19" s="21" t="s">
        <v>69</v>
      </c>
      <c r="B19" s="21" t="str">
        <f>LEFT(A:A,6)</f>
        <v>16-APR</v>
      </c>
      <c r="C19" s="21" t="str">
        <f>RIGHT(A:A,2)</f>
        <v>ES</v>
      </c>
      <c r="D19" s="21" t="str">
        <f t="shared" si="0"/>
        <v>Headphones Bose</v>
      </c>
      <c r="E19" s="21" t="s">
        <v>44</v>
      </c>
      <c r="F19" s="21" t="s">
        <v>71</v>
      </c>
      <c r="G19" s="14">
        <v>250</v>
      </c>
      <c r="H19" s="21">
        <v>20</v>
      </c>
      <c r="I19" s="19" t="s">
        <v>28</v>
      </c>
    </row>
    <row r="20" spans="1:9" x14ac:dyDescent="0.25">
      <c r="A20" s="21" t="s">
        <v>60</v>
      </c>
      <c r="B20" s="21" t="str">
        <f>LEFT(A:A,6)</f>
        <v>17-JUN</v>
      </c>
      <c r="C20" s="21" t="str">
        <f>RIGHT(A:A,2)</f>
        <v>IN</v>
      </c>
      <c r="D20" s="21" t="str">
        <f t="shared" si="0"/>
        <v>Laptop HP</v>
      </c>
      <c r="E20" s="21" t="s">
        <v>61</v>
      </c>
      <c r="F20" s="21" t="s">
        <v>62</v>
      </c>
      <c r="G20" s="14">
        <v>950</v>
      </c>
      <c r="H20" s="21">
        <v>25</v>
      </c>
      <c r="I20" s="19" t="s">
        <v>28</v>
      </c>
    </row>
    <row r="21" spans="1:9" x14ac:dyDescent="0.25">
      <c r="A21" s="22" t="s">
        <v>66</v>
      </c>
      <c r="B21" s="22" t="str">
        <f>LEFT(A:A,6)</f>
        <v>18-FEB</v>
      </c>
      <c r="C21" s="22" t="str">
        <f>RIGHT(A:A,2)</f>
        <v>CA</v>
      </c>
      <c r="D21" s="22" t="str">
        <f t="shared" si="0"/>
        <v>Smartwatch Fitbit</v>
      </c>
      <c r="E21" s="22" t="s">
        <v>67</v>
      </c>
      <c r="F21" s="22" t="s">
        <v>68</v>
      </c>
      <c r="G21" s="15">
        <v>150</v>
      </c>
      <c r="H21" s="22">
        <v>15</v>
      </c>
      <c r="I21" s="23" t="s">
        <v>28</v>
      </c>
    </row>
    <row r="22" spans="1:9" x14ac:dyDescent="0.25">
      <c r="A22" s="21" t="s">
        <v>92</v>
      </c>
      <c r="B22" s="21" t="str">
        <f>LEFT(A:A,6)</f>
        <v>19-JUL</v>
      </c>
      <c r="C22" s="21" t="str">
        <f>RIGHT(A:A,2)</f>
        <v>BR</v>
      </c>
      <c r="D22" s="21" t="str">
        <f t="shared" si="0"/>
        <v>Fitness Tracker Xiaomi</v>
      </c>
      <c r="E22" s="21" t="s">
        <v>93</v>
      </c>
      <c r="F22" s="21" t="s">
        <v>94</v>
      </c>
      <c r="G22" s="14">
        <v>150</v>
      </c>
      <c r="H22" s="21">
        <v>30</v>
      </c>
      <c r="I22" s="19" t="s">
        <v>121</v>
      </c>
    </row>
    <row r="23" spans="1:9" x14ac:dyDescent="0.25">
      <c r="A23" s="21" t="s">
        <v>47</v>
      </c>
      <c r="B23" s="21" t="str">
        <f>LEFT(A:A,6)</f>
        <v>19-JUL</v>
      </c>
      <c r="C23" s="21" t="str">
        <f>RIGHT(A:A,2)</f>
        <v>UK</v>
      </c>
      <c r="D23" s="21" t="str">
        <f t="shared" si="0"/>
        <v>T-Shirt Adidas</v>
      </c>
      <c r="E23" s="21" t="s">
        <v>117</v>
      </c>
      <c r="F23" s="21" t="s">
        <v>49</v>
      </c>
      <c r="G23" s="14">
        <v>30</v>
      </c>
      <c r="H23" s="21">
        <v>5</v>
      </c>
      <c r="I23" s="19" t="s">
        <v>32</v>
      </c>
    </row>
    <row r="24" spans="1:9" x14ac:dyDescent="0.25">
      <c r="A24" s="21" t="s">
        <v>76</v>
      </c>
      <c r="B24" s="21" t="str">
        <f>LEFT(A:A,6)</f>
        <v>20-AUG</v>
      </c>
      <c r="C24" s="21" t="str">
        <f>RIGHT(A:A,2)</f>
        <v>CN</v>
      </c>
      <c r="D24" s="21" t="str">
        <f t="shared" si="0"/>
        <v>Smartwatch Huawei</v>
      </c>
      <c r="E24" s="21" t="s">
        <v>67</v>
      </c>
      <c r="F24" s="21" t="s">
        <v>77</v>
      </c>
      <c r="G24" s="14">
        <v>160</v>
      </c>
      <c r="H24" s="21">
        <v>15</v>
      </c>
      <c r="I24" s="19" t="s">
        <v>28</v>
      </c>
    </row>
    <row r="25" spans="1:9" x14ac:dyDescent="0.25">
      <c r="A25" s="23" t="s">
        <v>72</v>
      </c>
      <c r="B25" s="22" t="str">
        <f>LEFT(A:A,6)</f>
        <v>21-AUG</v>
      </c>
      <c r="C25" s="22" t="str">
        <f>RIGHT(A:A,2)</f>
        <v>CA</v>
      </c>
      <c r="D25" s="22" t="str">
        <f t="shared" si="0"/>
        <v>Laptop Bag Samsonite</v>
      </c>
      <c r="E25" s="22" t="s">
        <v>73</v>
      </c>
      <c r="F25" s="22" t="s">
        <v>74</v>
      </c>
      <c r="G25" s="15">
        <v>50</v>
      </c>
      <c r="H25" s="22">
        <v>35</v>
      </c>
      <c r="I25" s="23" t="s">
        <v>75</v>
      </c>
    </row>
    <row r="26" spans="1:9" x14ac:dyDescent="0.25">
      <c r="A26" s="19" t="s">
        <v>40</v>
      </c>
      <c r="B26" s="21" t="str">
        <f>LEFT(A:A,6)</f>
        <v>22-MAY</v>
      </c>
      <c r="C26" s="21" t="str">
        <f>RIGHT(A:A,2)</f>
        <v>US</v>
      </c>
      <c r="D26" s="21" t="str">
        <f t="shared" si="0"/>
        <v>Backpack North Face</v>
      </c>
      <c r="E26" s="21" t="s">
        <v>41</v>
      </c>
      <c r="F26" s="21" t="s">
        <v>42</v>
      </c>
      <c r="G26" s="14">
        <v>70</v>
      </c>
      <c r="H26" s="21">
        <v>20</v>
      </c>
      <c r="I26" s="19" t="s">
        <v>121</v>
      </c>
    </row>
    <row r="27" spans="1:9" x14ac:dyDescent="0.25">
      <c r="A27" s="22" t="s">
        <v>50</v>
      </c>
      <c r="B27" s="22" t="str">
        <f>LEFT(A:A,6)</f>
        <v>23-AUG</v>
      </c>
      <c r="C27" s="22" t="str">
        <f>RIGHT(A:A,2)</f>
        <v>UK</v>
      </c>
      <c r="D27" s="22" t="str">
        <f t="shared" si="0"/>
        <v>Blender Ninja</v>
      </c>
      <c r="E27" s="22" t="s">
        <v>51</v>
      </c>
      <c r="F27" s="22" t="s">
        <v>52</v>
      </c>
      <c r="G27" s="15">
        <v>90</v>
      </c>
      <c r="H27" s="22">
        <v>35</v>
      </c>
      <c r="I27" s="23" t="s">
        <v>36</v>
      </c>
    </row>
    <row r="28" spans="1:9" x14ac:dyDescent="0.25">
      <c r="A28" s="21" t="s">
        <v>108</v>
      </c>
      <c r="B28" s="21" t="str">
        <f>LEFT(A:A,6)</f>
        <v>24-MAY</v>
      </c>
      <c r="C28" s="21" t="str">
        <f>RIGHT(A:A,2)</f>
        <v>CA</v>
      </c>
      <c r="D28" s="21" t="str">
        <f t="shared" si="0"/>
        <v>Fitness Tracker Garmin</v>
      </c>
      <c r="E28" s="21" t="s">
        <v>93</v>
      </c>
      <c r="F28" s="21" t="s">
        <v>109</v>
      </c>
      <c r="G28" s="14">
        <v>130</v>
      </c>
      <c r="H28" s="21">
        <v>5</v>
      </c>
      <c r="I28" s="19" t="s">
        <v>28</v>
      </c>
    </row>
    <row r="29" spans="1:9" x14ac:dyDescent="0.25">
      <c r="A29" s="22" t="s">
        <v>63</v>
      </c>
      <c r="B29" s="22" t="str">
        <f>LEFT(A:A,6)</f>
        <v>25-NOV</v>
      </c>
      <c r="C29" s="22" t="str">
        <f>RIGHT(A:A,2)</f>
        <v>AU</v>
      </c>
      <c r="D29" s="22" t="str">
        <f t="shared" si="0"/>
        <v>Sneakers Adidas</v>
      </c>
      <c r="E29" s="22" t="s">
        <v>30</v>
      </c>
      <c r="F29" s="22" t="s">
        <v>49</v>
      </c>
      <c r="G29" s="15">
        <v>90</v>
      </c>
      <c r="H29" s="22">
        <v>40</v>
      </c>
      <c r="I29" s="23" t="s">
        <v>121</v>
      </c>
    </row>
    <row r="30" spans="1:9" x14ac:dyDescent="0.25">
      <c r="A30" s="22" t="s">
        <v>78</v>
      </c>
      <c r="B30" s="22" t="str">
        <f>LEFT(A:A,6)</f>
        <v>27-JAN</v>
      </c>
      <c r="C30" s="22" t="str">
        <f>RIGHT(A:A,2)</f>
        <v>IT</v>
      </c>
      <c r="D30" s="22" t="str">
        <f t="shared" si="0"/>
        <v>Laptop Asus</v>
      </c>
      <c r="E30" s="22" t="s">
        <v>61</v>
      </c>
      <c r="F30" s="22" t="s">
        <v>79</v>
      </c>
      <c r="G30" s="15">
        <v>980</v>
      </c>
      <c r="H30" s="22">
        <v>10</v>
      </c>
      <c r="I30" s="23" t="s">
        <v>28</v>
      </c>
    </row>
    <row r="31" spans="1:9" x14ac:dyDescent="0.25">
      <c r="A31" s="21" t="s">
        <v>25</v>
      </c>
      <c r="B31" s="21" t="str">
        <f>LEFT(A:A,6)</f>
        <v>28-JAN</v>
      </c>
      <c r="C31" s="21" t="str">
        <f>RIGHT(A:A,2)</f>
        <v>US</v>
      </c>
      <c r="D31" s="21" t="str">
        <f t="shared" si="0"/>
        <v>Laptop Dell</v>
      </c>
      <c r="E31" s="21" t="s">
        <v>61</v>
      </c>
      <c r="F31" s="21" t="s">
        <v>27</v>
      </c>
      <c r="G31" s="14">
        <v>1000</v>
      </c>
      <c r="H31" s="21">
        <v>30</v>
      </c>
      <c r="I31" s="19" t="s">
        <v>28</v>
      </c>
    </row>
    <row r="32" spans="1:9" x14ac:dyDescent="0.25">
      <c r="A32" s="21" t="s">
        <v>95</v>
      </c>
      <c r="B32" s="21" t="str">
        <f>LEFT(A:A,6)</f>
        <v>29-SEP</v>
      </c>
      <c r="C32" s="21" t="str">
        <f>RIGHT(A:A,2)</f>
        <v>CA</v>
      </c>
      <c r="D32" s="21" t="str">
        <f t="shared" si="0"/>
        <v>Smartphone Google</v>
      </c>
      <c r="E32" s="21" t="s">
        <v>96</v>
      </c>
      <c r="F32" s="21" t="s">
        <v>97</v>
      </c>
      <c r="G32" s="14">
        <v>800</v>
      </c>
      <c r="H32" s="21">
        <v>45</v>
      </c>
      <c r="I32" s="19" t="s">
        <v>28</v>
      </c>
    </row>
  </sheetData>
  <conditionalFormatting sqref="G2:G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{421D2CDB-EEC4-4B2B-8B83-00D450628613}</x14:id>
        </ext>
      </extLst>
    </cfRule>
  </conditionalFormatting>
  <conditionalFormatting sqref="I2:I32">
    <cfRule type="cellIs" dxfId="1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1D2CDB-EEC4-4B2B-8B83-00D450628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ponmuhilan</cp:lastModifiedBy>
  <dcterms:modified xsi:type="dcterms:W3CDTF">2026-01-16T14:33:14Z</dcterms:modified>
</cp:coreProperties>
</file>